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170" yWindow="465" windowWidth="14805" windowHeight="8025" activeTab="1"/>
  </bookViews>
  <sheets>
    <sheet name="SuppData5A" sheetId="1" r:id="rId1"/>
    <sheet name="SuppData5B" sheetId="2" r:id="rId2"/>
  </sheets>
  <calcPr calcId="152511" concurrentCalc="0"/>
</workbook>
</file>

<file path=xl/calcChain.xml><?xml version="1.0" encoding="utf-8"?>
<calcChain xmlns="http://schemas.openxmlformats.org/spreadsheetml/2006/main">
  <c r="D11" i="2" l="1"/>
  <c r="D10" i="2"/>
  <c r="D9" i="2"/>
  <c r="D8" i="2"/>
  <c r="D7" i="2"/>
  <c r="D6" i="2"/>
  <c r="D5" i="2"/>
  <c r="D4" i="2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<sst xmlns="http://schemas.openxmlformats.org/spreadsheetml/2006/main" count="52" uniqueCount="41">
  <si>
    <t>Chr</t>
  </si>
  <si>
    <t>Start</t>
  </si>
  <si>
    <t>End</t>
  </si>
  <si>
    <t>Length</t>
  </si>
  <si>
    <t>Pre</t>
  </si>
  <si>
    <t>Post (A12)</t>
  </si>
  <si>
    <t>Driver genes</t>
  </si>
  <si>
    <t>5/4</t>
  </si>
  <si>
    <t>(PDE4DIP)</t>
  </si>
  <si>
    <t>SHC1, CKS1B</t>
  </si>
  <si>
    <t>PIK3C2B, MDM4, ELK4, (SLC45A3), IKBKE</t>
  </si>
  <si>
    <t>AFF3</t>
  </si>
  <si>
    <t>7/8</t>
  </si>
  <si>
    <t>ACVR1</t>
  </si>
  <si>
    <t>7/6</t>
  </si>
  <si>
    <t>5/6</t>
  </si>
  <si>
    <t>(SDHA), TERT, IL7R, SKP2, (LIFR), RICTOR</t>
  </si>
  <si>
    <t>6/8</t>
  </si>
  <si>
    <t>(PRDM1)</t>
  </si>
  <si>
    <t>8/6</t>
  </si>
  <si>
    <t>MYC</t>
  </si>
  <si>
    <t>C11orf30, PAK1, GAB2, (PICALM), MRE11A</t>
  </si>
  <si>
    <t>EP400</t>
  </si>
  <si>
    <t>BCL2L2</t>
  </si>
  <si>
    <t>6/7/5/8</t>
  </si>
  <si>
    <t>8/7</t>
  </si>
  <si>
    <t>NRIP1</t>
  </si>
  <si>
    <t>(HERPUD1), (CDH11), (CBFB), (CTCF), (CDH1), (ZFHX3), MAF</t>
  </si>
  <si>
    <t>Amplified post-treatment and not pre-treatment</t>
  </si>
  <si>
    <t>Amplified pre-treatment and not post-treatment</t>
  </si>
  <si>
    <t>PMS1, STAT4, SF3B1, (CASP8), CREB1, IDH1, ERBB4</t>
  </si>
  <si>
    <t>Driver genes are in parentheses if they were annotated by COSMIC as tumor suppresors or fusion genes (i.e. unlikely to be drivers in amplified form)</t>
  </si>
  <si>
    <t>Post (A5)</t>
  </si>
  <si>
    <t>(MNX1)</t>
  </si>
  <si>
    <t>U2AF1</t>
  </si>
  <si>
    <t>(CDK12), ERBB2*, GRB7, IKZF3, PPP1R1B</t>
  </si>
  <si>
    <r>
      <t xml:space="preserve">* </t>
    </r>
    <r>
      <rPr>
        <i/>
        <sz val="11"/>
        <color theme="1"/>
        <rFont val="Calibri"/>
        <family val="2"/>
        <scheme val="minor"/>
      </rPr>
      <t>ERBB2</t>
    </r>
    <r>
      <rPr>
        <sz val="11"/>
        <color theme="1"/>
        <rFont val="Calibri"/>
        <family val="2"/>
        <scheme val="minor"/>
      </rPr>
      <t xml:space="preserve"> actually remained amplified in post-treatment tumor as confirmed by FISH (this copy number change was a false positive from segmentation error)</t>
    </r>
  </si>
  <si>
    <t>CCND1*, FADD</t>
  </si>
  <si>
    <r>
      <t xml:space="preserve">* </t>
    </r>
    <r>
      <rPr>
        <i/>
        <sz val="11"/>
        <color theme="1"/>
        <rFont val="Calibri"/>
        <family val="2"/>
        <scheme val="minor"/>
      </rPr>
      <t xml:space="preserve">CCND1 </t>
    </r>
    <r>
      <rPr>
        <sz val="11"/>
        <color theme="1"/>
        <rFont val="Calibri"/>
        <family val="2"/>
        <scheme val="minor"/>
      </rPr>
      <t xml:space="preserve">amplification was validated with FISH on a separate region (average </t>
    </r>
    <r>
      <rPr>
        <i/>
        <sz val="11"/>
        <color theme="1"/>
        <rFont val="Calibri"/>
        <family val="2"/>
        <scheme val="minor"/>
      </rPr>
      <t xml:space="preserve">CCND1 </t>
    </r>
    <r>
      <rPr>
        <sz val="11"/>
        <color theme="1"/>
        <rFont val="Calibri"/>
        <family val="2"/>
        <scheme val="minor"/>
      </rPr>
      <t>copy number 6.4, average ratio to chromosome 11 centromere 3.3)</t>
    </r>
  </si>
  <si>
    <t>Supplementary Data 5A: Copy number changes in P1 post-treatment clone</t>
  </si>
  <si>
    <t>Supplementary Data 5B: Copy number changes in P5 post-treatment clone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</si>
</sst>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Alignment="1">
      <alignment horizontal="left"/>
    </xf>
    <xf numFmtId="1" fontId="0" fillId="2" borderId="0" xfId="0" applyNumberFormat="1" applyFont="1" applyFill="1" applyAlignment="1">
      <alignment horizontal="left"/>
    </xf>
    <xf numFmtId="3" fontId="0" fillId="2" borderId="0" xfId="0" applyNumberFormat="1" applyFont="1" applyFill="1" applyAlignment="1">
      <alignment horizontal="left"/>
    </xf>
    <xf numFmtId="0" fontId="0" fillId="2" borderId="0" xfId="0" quotePrefix="1" applyFont="1" applyFill="1" applyAlignment="1">
      <alignment horizontal="left"/>
    </xf>
    <xf numFmtId="0" fontId="0" fillId="3" borderId="0" xfId="0" applyFont="1" applyFill="1" applyAlignment="1">
      <alignment horizontal="left"/>
    </xf>
    <xf numFmtId="1" fontId="0" fillId="3" borderId="0" xfId="0" applyNumberFormat="1" applyFont="1" applyFill="1" applyAlignment="1">
      <alignment horizontal="left"/>
    </xf>
    <xf numFmtId="3" fontId="0" fillId="3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2" sqref="A2"/>
    </sheetView>
  </sheetViews>
  <sheetFormatPr defaultColWidth="8.85546875" defaultRowHeight="15" x14ac:dyDescent="0.25"/>
  <cols>
    <col min="2" max="3" width="11.140625" bestFit="1" customWidth="1"/>
    <col min="4" max="4" width="10" customWidth="1"/>
    <col min="6" max="6" width="12" customWidth="1"/>
    <col min="7" max="7" width="53" customWidth="1"/>
  </cols>
  <sheetData>
    <row r="1" spans="1:7" x14ac:dyDescent="0.25">
      <c r="A1" s="9" t="s">
        <v>39</v>
      </c>
    </row>
    <row r="3" spans="1:7" x14ac:dyDescent="0.2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x14ac:dyDescent="0.25">
      <c r="A4" s="1">
        <v>1</v>
      </c>
      <c r="B4" s="2">
        <v>144922109</v>
      </c>
      <c r="C4" s="2">
        <v>144946768</v>
      </c>
      <c r="D4" s="3">
        <f t="shared" ref="D4:D30" si="0">C4-B4</f>
        <v>24659</v>
      </c>
      <c r="E4" s="1">
        <v>2</v>
      </c>
      <c r="F4" s="4" t="s">
        <v>7</v>
      </c>
      <c r="G4" s="1" t="s">
        <v>8</v>
      </c>
    </row>
    <row r="5" spans="1:7" x14ac:dyDescent="0.25">
      <c r="A5" s="1">
        <v>1</v>
      </c>
      <c r="B5" s="2">
        <v>154919080</v>
      </c>
      <c r="C5" s="2">
        <v>154995503</v>
      </c>
      <c r="D5" s="3">
        <f t="shared" si="0"/>
        <v>76423</v>
      </c>
      <c r="E5" s="1">
        <v>3</v>
      </c>
      <c r="F5" s="1">
        <v>6</v>
      </c>
      <c r="G5" s="1" t="s">
        <v>9</v>
      </c>
    </row>
    <row r="6" spans="1:7" x14ac:dyDescent="0.25">
      <c r="A6" s="1">
        <v>1</v>
      </c>
      <c r="B6" s="2">
        <v>201020105</v>
      </c>
      <c r="C6" s="2">
        <v>208391098</v>
      </c>
      <c r="D6" s="3">
        <f t="shared" si="0"/>
        <v>7370993</v>
      </c>
      <c r="E6" s="1">
        <v>3</v>
      </c>
      <c r="F6" s="1">
        <v>8</v>
      </c>
      <c r="G6" s="1" t="s">
        <v>10</v>
      </c>
    </row>
    <row r="7" spans="1:7" x14ac:dyDescent="0.25">
      <c r="A7" s="1">
        <v>2</v>
      </c>
      <c r="B7" s="2">
        <v>98866775</v>
      </c>
      <c r="C7" s="2">
        <v>101186088</v>
      </c>
      <c r="D7" s="3">
        <f t="shared" si="0"/>
        <v>2319313</v>
      </c>
      <c r="E7" s="1">
        <v>3</v>
      </c>
      <c r="F7" s="1">
        <v>6</v>
      </c>
      <c r="G7" s="1" t="s">
        <v>11</v>
      </c>
    </row>
    <row r="8" spans="1:7" x14ac:dyDescent="0.25">
      <c r="A8" s="1">
        <v>2</v>
      </c>
      <c r="B8" s="2">
        <v>158291188</v>
      </c>
      <c r="C8" s="2">
        <v>159954175</v>
      </c>
      <c r="D8" s="3">
        <f t="shared" si="0"/>
        <v>1662987</v>
      </c>
      <c r="E8" s="1">
        <v>3</v>
      </c>
      <c r="F8" s="4" t="s">
        <v>12</v>
      </c>
      <c r="G8" s="1" t="s">
        <v>13</v>
      </c>
    </row>
    <row r="9" spans="1:7" x14ac:dyDescent="0.25">
      <c r="A9" s="1">
        <v>2</v>
      </c>
      <c r="B9" s="2">
        <v>185800905</v>
      </c>
      <c r="C9" s="2">
        <v>212589986</v>
      </c>
      <c r="D9" s="3">
        <f t="shared" si="0"/>
        <v>26789081</v>
      </c>
      <c r="E9" s="1">
        <v>3</v>
      </c>
      <c r="F9" s="4" t="s">
        <v>14</v>
      </c>
      <c r="G9" s="1" t="s">
        <v>30</v>
      </c>
    </row>
    <row r="10" spans="1:7" x14ac:dyDescent="0.25">
      <c r="A10" s="1">
        <v>2</v>
      </c>
      <c r="B10" s="2">
        <v>241713646</v>
      </c>
      <c r="C10" s="2">
        <v>242004866</v>
      </c>
      <c r="D10" s="3">
        <f t="shared" si="0"/>
        <v>291220</v>
      </c>
      <c r="E10" s="3">
        <v>3</v>
      </c>
      <c r="F10" s="3">
        <v>6</v>
      </c>
      <c r="G10" s="1"/>
    </row>
    <row r="11" spans="1:7" x14ac:dyDescent="0.25">
      <c r="A11" s="1">
        <v>3</v>
      </c>
      <c r="B11" s="2">
        <v>97660084</v>
      </c>
      <c r="C11" s="2">
        <v>99886662</v>
      </c>
      <c r="D11" s="3">
        <f t="shared" si="0"/>
        <v>2226578</v>
      </c>
      <c r="E11" s="3">
        <v>3</v>
      </c>
      <c r="F11" s="3">
        <v>5</v>
      </c>
      <c r="G11" s="1"/>
    </row>
    <row r="12" spans="1:7" x14ac:dyDescent="0.25">
      <c r="A12" s="1">
        <v>3</v>
      </c>
      <c r="B12" s="2">
        <v>189625218</v>
      </c>
      <c r="C12" s="2">
        <v>193220219</v>
      </c>
      <c r="D12" s="3">
        <f t="shared" si="0"/>
        <v>3595001</v>
      </c>
      <c r="E12" s="3">
        <v>2</v>
      </c>
      <c r="F12" s="4" t="s">
        <v>15</v>
      </c>
      <c r="G12" s="1"/>
    </row>
    <row r="13" spans="1:7" x14ac:dyDescent="0.25">
      <c r="A13" s="1">
        <v>5</v>
      </c>
      <c r="B13" s="2">
        <v>181660</v>
      </c>
      <c r="C13" s="2">
        <v>43297144</v>
      </c>
      <c r="D13" s="3">
        <f t="shared" si="0"/>
        <v>43115484</v>
      </c>
      <c r="E13" s="3">
        <v>3</v>
      </c>
      <c r="F13" s="4" t="s">
        <v>12</v>
      </c>
      <c r="G13" s="1" t="s">
        <v>16</v>
      </c>
    </row>
    <row r="14" spans="1:7" x14ac:dyDescent="0.25">
      <c r="A14" s="5">
        <v>6</v>
      </c>
      <c r="B14" s="6">
        <v>33377484</v>
      </c>
      <c r="C14" s="6">
        <v>33641379</v>
      </c>
      <c r="D14" s="7">
        <f t="shared" si="0"/>
        <v>263895</v>
      </c>
      <c r="E14" s="7">
        <v>8</v>
      </c>
      <c r="F14" s="5">
        <v>2</v>
      </c>
      <c r="G14" s="5"/>
    </row>
    <row r="15" spans="1:7" x14ac:dyDescent="0.25">
      <c r="A15" s="1">
        <v>6</v>
      </c>
      <c r="B15" s="2">
        <v>101075872</v>
      </c>
      <c r="C15" s="2">
        <v>108372208</v>
      </c>
      <c r="D15" s="3">
        <f t="shared" si="0"/>
        <v>7296336</v>
      </c>
      <c r="E15" s="3">
        <v>3</v>
      </c>
      <c r="F15" s="4" t="s">
        <v>17</v>
      </c>
      <c r="G15" s="1" t="s">
        <v>18</v>
      </c>
    </row>
    <row r="16" spans="1:7" x14ac:dyDescent="0.25">
      <c r="A16" s="1">
        <v>8</v>
      </c>
      <c r="B16" s="2">
        <v>52412226</v>
      </c>
      <c r="C16" s="2">
        <v>54866657</v>
      </c>
      <c r="D16" s="3">
        <f t="shared" si="0"/>
        <v>2454431</v>
      </c>
      <c r="E16" s="3">
        <v>3</v>
      </c>
      <c r="F16" s="4" t="s">
        <v>19</v>
      </c>
      <c r="G16" s="1"/>
    </row>
    <row r="17" spans="1:7" x14ac:dyDescent="0.25">
      <c r="A17" s="1">
        <v>8</v>
      </c>
      <c r="B17" s="2">
        <v>124810320</v>
      </c>
      <c r="C17" s="2">
        <v>133584558</v>
      </c>
      <c r="D17" s="3">
        <f t="shared" si="0"/>
        <v>8774238</v>
      </c>
      <c r="E17" s="3">
        <v>2</v>
      </c>
      <c r="F17" s="1">
        <v>4</v>
      </c>
      <c r="G17" s="1" t="s">
        <v>20</v>
      </c>
    </row>
    <row r="18" spans="1:7" x14ac:dyDescent="0.25">
      <c r="A18" s="5">
        <v>8</v>
      </c>
      <c r="B18" s="6">
        <v>133975283</v>
      </c>
      <c r="C18" s="6">
        <v>134144113</v>
      </c>
      <c r="D18" s="7">
        <f t="shared" si="0"/>
        <v>168830</v>
      </c>
      <c r="E18" s="7">
        <v>8</v>
      </c>
      <c r="F18" s="5">
        <v>3</v>
      </c>
      <c r="G18" s="5"/>
    </row>
    <row r="19" spans="1:7" x14ac:dyDescent="0.25">
      <c r="A19" s="1">
        <v>10</v>
      </c>
      <c r="B19" s="2">
        <v>86131059</v>
      </c>
      <c r="C19" s="2">
        <v>86273249</v>
      </c>
      <c r="D19" s="3">
        <f t="shared" si="0"/>
        <v>142190</v>
      </c>
      <c r="E19" s="3">
        <v>2</v>
      </c>
      <c r="F19" s="1">
        <v>5</v>
      </c>
      <c r="G19" s="1"/>
    </row>
    <row r="20" spans="1:7" x14ac:dyDescent="0.25">
      <c r="A20" s="1">
        <v>11</v>
      </c>
      <c r="B20" s="2">
        <v>68846098</v>
      </c>
      <c r="C20" s="2">
        <v>70218548</v>
      </c>
      <c r="D20" s="3">
        <f t="shared" si="0"/>
        <v>1372450</v>
      </c>
      <c r="E20" s="3">
        <v>3</v>
      </c>
      <c r="F20" s="1">
        <v>8</v>
      </c>
      <c r="G20" s="1" t="s">
        <v>37</v>
      </c>
    </row>
    <row r="21" spans="1:7" x14ac:dyDescent="0.25">
      <c r="A21" s="1">
        <v>11</v>
      </c>
      <c r="B21" s="2">
        <v>73681090</v>
      </c>
      <c r="C21" s="2">
        <v>94212048</v>
      </c>
      <c r="D21" s="3">
        <f t="shared" si="0"/>
        <v>20530958</v>
      </c>
      <c r="E21" s="3">
        <v>3</v>
      </c>
      <c r="F21" s="4" t="s">
        <v>12</v>
      </c>
      <c r="G21" s="1" t="s">
        <v>21</v>
      </c>
    </row>
    <row r="22" spans="1:7" x14ac:dyDescent="0.25">
      <c r="A22" s="5">
        <v>12</v>
      </c>
      <c r="B22" s="6">
        <v>125834095</v>
      </c>
      <c r="C22" s="6">
        <v>132626425</v>
      </c>
      <c r="D22" s="7">
        <f t="shared" si="0"/>
        <v>6792330</v>
      </c>
      <c r="E22" s="7">
        <v>8</v>
      </c>
      <c r="F22" s="5">
        <v>4</v>
      </c>
      <c r="G22" s="5" t="s">
        <v>22</v>
      </c>
    </row>
    <row r="23" spans="1:7" x14ac:dyDescent="0.25">
      <c r="A23" s="1">
        <v>13</v>
      </c>
      <c r="B23" s="2">
        <v>61986918</v>
      </c>
      <c r="C23" s="2">
        <v>67802339</v>
      </c>
      <c r="D23" s="3">
        <f t="shared" si="0"/>
        <v>5815421</v>
      </c>
      <c r="E23" s="3">
        <v>2</v>
      </c>
      <c r="F23" s="1">
        <v>8</v>
      </c>
      <c r="G23" s="1"/>
    </row>
    <row r="24" spans="1:7" x14ac:dyDescent="0.25">
      <c r="A24" s="1">
        <v>14</v>
      </c>
      <c r="B24" s="2">
        <v>23598952</v>
      </c>
      <c r="C24" s="2">
        <v>24026493</v>
      </c>
      <c r="D24" s="3">
        <f t="shared" si="0"/>
        <v>427541</v>
      </c>
      <c r="E24" s="3">
        <v>2</v>
      </c>
      <c r="F24" s="1">
        <v>6</v>
      </c>
      <c r="G24" s="1" t="s">
        <v>23</v>
      </c>
    </row>
    <row r="25" spans="1:7" x14ac:dyDescent="0.25">
      <c r="A25" s="1">
        <v>16</v>
      </c>
      <c r="B25" s="2">
        <v>56855496</v>
      </c>
      <c r="C25" s="2">
        <v>85112002</v>
      </c>
      <c r="D25" s="3">
        <f t="shared" si="0"/>
        <v>28256506</v>
      </c>
      <c r="E25" s="3">
        <v>3</v>
      </c>
      <c r="F25" s="4" t="s">
        <v>24</v>
      </c>
      <c r="G25" s="1" t="s">
        <v>27</v>
      </c>
    </row>
    <row r="26" spans="1:7" x14ac:dyDescent="0.25">
      <c r="A26" s="5">
        <v>17</v>
      </c>
      <c r="B26" s="6">
        <v>38855772</v>
      </c>
      <c r="C26" s="6">
        <v>38857446</v>
      </c>
      <c r="D26" s="7">
        <f t="shared" si="0"/>
        <v>1674</v>
      </c>
      <c r="E26" s="7">
        <v>8</v>
      </c>
      <c r="F26" s="5">
        <v>3</v>
      </c>
      <c r="G26" s="5"/>
    </row>
    <row r="27" spans="1:7" x14ac:dyDescent="0.25">
      <c r="A27" s="1">
        <v>17</v>
      </c>
      <c r="B27" s="2">
        <v>79682558</v>
      </c>
      <c r="C27" s="2">
        <v>79805003</v>
      </c>
      <c r="D27" s="3">
        <f t="shared" si="0"/>
        <v>122445</v>
      </c>
      <c r="E27" s="3">
        <v>3</v>
      </c>
      <c r="F27" s="3">
        <v>6</v>
      </c>
      <c r="G27" s="1"/>
    </row>
    <row r="28" spans="1:7" x14ac:dyDescent="0.25">
      <c r="A28" s="1">
        <v>17</v>
      </c>
      <c r="B28" s="2">
        <v>80401946</v>
      </c>
      <c r="C28" s="2">
        <v>81006629</v>
      </c>
      <c r="D28" s="3">
        <f t="shared" si="0"/>
        <v>604683</v>
      </c>
      <c r="E28" s="3">
        <v>3</v>
      </c>
      <c r="F28" s="4" t="s">
        <v>25</v>
      </c>
      <c r="G28" s="1"/>
    </row>
    <row r="29" spans="1:7" x14ac:dyDescent="0.25">
      <c r="A29" s="1">
        <v>18</v>
      </c>
      <c r="B29" s="2">
        <v>21113285</v>
      </c>
      <c r="C29" s="2">
        <v>21404334</v>
      </c>
      <c r="D29" s="3">
        <f t="shared" si="0"/>
        <v>291049</v>
      </c>
      <c r="E29" s="3">
        <v>2</v>
      </c>
      <c r="F29" s="3">
        <v>4</v>
      </c>
      <c r="G29" s="1"/>
    </row>
    <row r="30" spans="1:7" x14ac:dyDescent="0.25">
      <c r="A30" s="1">
        <v>21</v>
      </c>
      <c r="B30" s="2">
        <v>15558346</v>
      </c>
      <c r="C30" s="2">
        <v>19169155</v>
      </c>
      <c r="D30" s="3">
        <f t="shared" si="0"/>
        <v>3610809</v>
      </c>
      <c r="E30" s="3">
        <v>3</v>
      </c>
      <c r="F30" s="3">
        <v>6</v>
      </c>
      <c r="G30" s="1" t="s">
        <v>26</v>
      </c>
    </row>
    <row r="32" spans="1:7" x14ac:dyDescent="0.25">
      <c r="A32" t="s">
        <v>38</v>
      </c>
    </row>
    <row r="33" spans="1:2" x14ac:dyDescent="0.25">
      <c r="A33" s="1"/>
      <c r="B33" t="s">
        <v>28</v>
      </c>
    </row>
    <row r="34" spans="1:2" x14ac:dyDescent="0.25">
      <c r="A34" s="5"/>
      <c r="B34" t="s">
        <v>29</v>
      </c>
    </row>
    <row r="35" spans="1:2" x14ac:dyDescent="0.25">
      <c r="A35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A2" sqref="A2"/>
    </sheetView>
  </sheetViews>
  <sheetFormatPr defaultColWidth="8.85546875" defaultRowHeight="15" x14ac:dyDescent="0.25"/>
  <cols>
    <col min="2" max="3" width="11.140625" bestFit="1" customWidth="1"/>
    <col min="4" max="4" width="10" customWidth="1"/>
    <col min="6" max="6" width="12" customWidth="1"/>
    <col min="7" max="7" width="53" customWidth="1"/>
  </cols>
  <sheetData>
    <row r="1" spans="1:7" x14ac:dyDescent="0.25">
      <c r="A1" s="9" t="s">
        <v>40</v>
      </c>
    </row>
    <row r="3" spans="1:7" x14ac:dyDescent="0.2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32</v>
      </c>
      <c r="G3" s="8" t="s">
        <v>6</v>
      </c>
    </row>
    <row r="4" spans="1:7" x14ac:dyDescent="0.25">
      <c r="A4" s="5">
        <v>6</v>
      </c>
      <c r="B4" s="6">
        <v>136590613</v>
      </c>
      <c r="C4" s="6">
        <v>136594292</v>
      </c>
      <c r="D4" s="7">
        <f>C4-B4</f>
        <v>3679</v>
      </c>
      <c r="E4" s="5">
        <v>4</v>
      </c>
      <c r="F4" s="5">
        <v>2</v>
      </c>
      <c r="G4" s="5"/>
    </row>
    <row r="5" spans="1:7" x14ac:dyDescent="0.25">
      <c r="A5" s="1">
        <v>7</v>
      </c>
      <c r="B5" s="2">
        <v>21582921</v>
      </c>
      <c r="C5" s="2">
        <v>21584838</v>
      </c>
      <c r="D5" s="3">
        <f t="shared" ref="D5:D11" si="0">C5-B5</f>
        <v>1917</v>
      </c>
      <c r="E5" s="3">
        <v>4</v>
      </c>
      <c r="F5" s="3">
        <v>8</v>
      </c>
      <c r="G5" s="1"/>
    </row>
    <row r="6" spans="1:7" x14ac:dyDescent="0.25">
      <c r="A6" s="1">
        <v>7</v>
      </c>
      <c r="B6" s="2">
        <v>154172154</v>
      </c>
      <c r="C6" s="2">
        <v>158896517</v>
      </c>
      <c r="D6" s="3">
        <f t="shared" si="0"/>
        <v>4724363</v>
      </c>
      <c r="E6" s="3">
        <v>2</v>
      </c>
      <c r="F6" s="3">
        <v>4</v>
      </c>
      <c r="G6" s="1" t="s">
        <v>33</v>
      </c>
    </row>
    <row r="7" spans="1:7" x14ac:dyDescent="0.25">
      <c r="A7" s="5">
        <v>17</v>
      </c>
      <c r="B7" s="6">
        <v>37319103</v>
      </c>
      <c r="C7" s="6">
        <v>38031073</v>
      </c>
      <c r="D7" s="7">
        <f t="shared" si="0"/>
        <v>711970</v>
      </c>
      <c r="E7" s="7">
        <v>8</v>
      </c>
      <c r="F7" s="7">
        <v>3</v>
      </c>
      <c r="G7" s="5" t="s">
        <v>35</v>
      </c>
    </row>
    <row r="8" spans="1:7" x14ac:dyDescent="0.25">
      <c r="A8" s="1">
        <v>19</v>
      </c>
      <c r="B8" s="2">
        <v>8987133</v>
      </c>
      <c r="C8" s="2">
        <v>9226017</v>
      </c>
      <c r="D8" s="3">
        <f t="shared" si="0"/>
        <v>238884</v>
      </c>
      <c r="E8" s="3">
        <v>2</v>
      </c>
      <c r="F8" s="3">
        <v>4</v>
      </c>
      <c r="G8" s="1"/>
    </row>
    <row r="9" spans="1:7" x14ac:dyDescent="0.25">
      <c r="A9" s="1">
        <v>21</v>
      </c>
      <c r="B9" s="2">
        <v>30257560</v>
      </c>
      <c r="C9" s="2">
        <v>31964916</v>
      </c>
      <c r="D9" s="3">
        <f t="shared" si="0"/>
        <v>1707356</v>
      </c>
      <c r="E9" s="3">
        <v>2</v>
      </c>
      <c r="F9" s="3">
        <v>4</v>
      </c>
      <c r="G9" s="1"/>
    </row>
    <row r="10" spans="1:7" x14ac:dyDescent="0.25">
      <c r="A10" s="1">
        <v>21</v>
      </c>
      <c r="B10" s="2">
        <v>43236176</v>
      </c>
      <c r="C10" s="2">
        <v>44592163</v>
      </c>
      <c r="D10" s="3">
        <f t="shared" si="0"/>
        <v>1355987</v>
      </c>
      <c r="E10" s="3">
        <v>2</v>
      </c>
      <c r="F10" s="3">
        <v>4</v>
      </c>
      <c r="G10" s="1" t="s">
        <v>34</v>
      </c>
    </row>
    <row r="11" spans="1:7" x14ac:dyDescent="0.25">
      <c r="A11" s="1">
        <v>21</v>
      </c>
      <c r="B11" s="2">
        <v>45978499</v>
      </c>
      <c r="C11" s="2">
        <v>46233836</v>
      </c>
      <c r="D11" s="3">
        <f t="shared" si="0"/>
        <v>255337</v>
      </c>
      <c r="E11" s="3">
        <v>2</v>
      </c>
      <c r="F11" s="3">
        <v>5</v>
      </c>
      <c r="G11" s="1"/>
    </row>
    <row r="13" spans="1:7" x14ac:dyDescent="0.25">
      <c r="A13" t="s">
        <v>36</v>
      </c>
    </row>
    <row r="14" spans="1:7" x14ac:dyDescent="0.25">
      <c r="A14" s="1"/>
      <c r="B14" t="s">
        <v>28</v>
      </c>
    </row>
    <row r="15" spans="1:7" x14ac:dyDescent="0.25">
      <c r="A15" s="5"/>
      <c r="B15" t="s">
        <v>29</v>
      </c>
    </row>
    <row r="16" spans="1:7" x14ac:dyDescent="0.25">
      <c r="A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SuppData5A</vt:lpstr>
      <vt:lpstr>SuppData5B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2018-12-21T17:40:23Z</dcterms:modified>
</cp:coreProperties>
</file>